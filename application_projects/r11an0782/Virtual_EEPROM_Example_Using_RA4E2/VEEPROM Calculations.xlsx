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ntDAgostino\OneDrive\Documents\_KA-03 Projects\PR 03037 TOI to APN Conversions\Deliverable - Final\"/>
    </mc:Choice>
  </mc:AlternateContent>
  <xr:revisionPtr revIDLastSave="0" documentId="8_{1AE41FB1-B3C9-4240-9127-9DFE1BDBCDF9}" xr6:coauthVersionLast="47" xr6:coauthVersionMax="47" xr10:uidLastSave="{00000000-0000-0000-0000-000000000000}"/>
  <bookViews>
    <workbookView xWindow="3308" yWindow="1350" windowWidth="16200" windowHeight="11940" firstSheet="1" activeTab="1" xr2:uid="{8BF2B7FD-0A52-46D3-95A6-160715345136}"/>
  </bookViews>
  <sheets>
    <sheet name="Memory Segments" sheetId="1" r:id="rId1"/>
    <sheet name="Read-Write Tim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M4" i="1"/>
  <c r="D8" i="1"/>
  <c r="E7" i="1"/>
  <c r="E6" i="1"/>
  <c r="E8" i="1" l="1"/>
  <c r="H11" i="1"/>
  <c r="N5" i="1" s="1"/>
  <c r="G11" i="1"/>
  <c r="N6" i="1" l="1"/>
  <c r="M5" i="1"/>
  <c r="J11" i="1"/>
  <c r="N7" i="1" l="1"/>
  <c r="M6" i="1"/>
  <c r="N8" i="1" l="1"/>
  <c r="M7" i="1"/>
  <c r="N9" i="1" l="1"/>
  <c r="M8" i="1"/>
  <c r="N10" i="1" l="1"/>
  <c r="M9" i="1"/>
  <c r="N11" i="1" l="1"/>
  <c r="M10" i="1"/>
  <c r="N12" i="1" l="1"/>
  <c r="M11" i="1"/>
  <c r="N13" i="1" l="1"/>
  <c r="M12" i="1"/>
  <c r="N14" i="1" l="1"/>
  <c r="M13" i="1"/>
  <c r="N15" i="1" l="1"/>
  <c r="M14" i="1"/>
  <c r="N16" i="1" l="1"/>
  <c r="M15" i="1"/>
  <c r="N17" i="1" l="1"/>
  <c r="M16" i="1"/>
  <c r="N18" i="1" l="1"/>
  <c r="M17" i="1"/>
  <c r="N19" i="1" l="1"/>
  <c r="M19" i="1" s="1"/>
  <c r="M18" i="1"/>
</calcChain>
</file>

<file path=xl/sharedStrings.xml><?xml version="1.0" encoding="utf-8"?>
<sst xmlns="http://schemas.openxmlformats.org/spreadsheetml/2006/main" count="18" uniqueCount="16">
  <si>
    <t>Virtual EEPROM Calculator</t>
  </si>
  <si>
    <t>Segment Start Addresses:</t>
  </si>
  <si>
    <t>Hex (no 0x)</t>
  </si>
  <si>
    <t>Dec</t>
  </si>
  <si>
    <t>Decimal</t>
  </si>
  <si>
    <t>Starting Addresss;</t>
  </si>
  <si>
    <t>Ending Address:</t>
  </si>
  <si>
    <t>8000FFF</t>
  </si>
  <si>
    <t>Data Flash Size:</t>
  </si>
  <si>
    <t>Size of each segment</t>
  </si>
  <si>
    <t>Hex</t>
  </si>
  <si>
    <t>Number of Segments:</t>
  </si>
  <si>
    <t>ENTER DATA</t>
  </si>
  <si>
    <t>INTERMEDIATE RESULTS</t>
  </si>
  <si>
    <t>FINAL RESULTS</t>
  </si>
  <si>
    <t>Read-Write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</si>
</sst>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2" borderId="3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5" borderId="0" xfId="0" applyFill="1"/>
    <xf numFmtId="0" fontId="0" fillId="6" borderId="1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1" fillId="0" borderId="0" xfId="0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B43E-75EF-4726-AA7C-6FA993B9CF6A}">
  <dimension ref="A1:N19"/>
  <sheetViews>
    <sheetView zoomScale="99" workbookViewId="0">
      <selection activeCell="G15" sqref="G15"/>
    </sheetView>
  </sheetViews>
  <sheetFormatPr defaultRowHeight="14.25"/>
  <cols>
    <col min="1" max="1" width="5.85546875" customWidth="1"/>
    <col min="4" max="5" width="12.140625" customWidth="1"/>
    <col min="6" max="6" width="3" customWidth="1"/>
    <col min="7" max="8" width="12.140625" customWidth="1"/>
    <col min="9" max="9" width="2.5703125" customWidth="1"/>
    <col min="10" max="10" width="9" customWidth="1"/>
    <col min="13" max="14" width="12.140625" customWidth="1"/>
  </cols>
  <sheetData>
    <row r="1" spans="1:14" ht="18">
      <c r="A1" s="12" t="s">
        <v>0</v>
      </c>
      <c r="B1" s="12"/>
    </row>
    <row r="2" spans="1:14">
      <c r="K2" t="s">
        <v>1</v>
      </c>
    </row>
    <row r="3" spans="1:14">
      <c r="M3" s="9" t="s">
        <v>2</v>
      </c>
      <c r="N3" s="9" t="s">
        <v>3</v>
      </c>
    </row>
    <row r="4" spans="1:14">
      <c r="L4">
        <v>1</v>
      </c>
      <c r="M4" s="10">
        <f>D6</f>
        <v>8000000</v>
      </c>
      <c r="N4" s="10">
        <f>E6</f>
        <v>134217728</v>
      </c>
    </row>
    <row r="5" spans="1:14">
      <c r="D5" s="9" t="s">
        <v>2</v>
      </c>
      <c r="E5" s="9" t="s">
        <v>4</v>
      </c>
      <c r="L5">
        <v>2</v>
      </c>
      <c r="M5" s="11" t="str">
        <f>IF(N5&lt;&gt;"----",DEC2HEX(N5), "----")</f>
        <v>8000400</v>
      </c>
      <c r="N5" s="11">
        <f>IF( (N4&lt;&gt;"----"),IF((N4+$H$11&lt;=$E$7), N4+$H$11,"----"),"----")</f>
        <v>134218752</v>
      </c>
    </row>
    <row r="6" spans="1:14">
      <c r="C6" s="1" t="s">
        <v>5</v>
      </c>
      <c r="D6" s="2">
        <v>8000000</v>
      </c>
      <c r="E6" s="3">
        <f>HEX2DEC(D6)</f>
        <v>134217728</v>
      </c>
      <c r="L6">
        <v>3</v>
      </c>
      <c r="M6" s="11" t="str">
        <f t="shared" ref="M6:M19" si="0">IF(N6&lt;&gt;"----",DEC2HEX(N6), "----")</f>
        <v>8000800</v>
      </c>
      <c r="N6" s="11">
        <f t="shared" ref="N6:N19" si="1">IF( (N5&lt;&gt;"----"),IF((N5+$H$11&lt;=$E$7), N5+$H$11,"----"),"----")</f>
        <v>134219776</v>
      </c>
    </row>
    <row r="7" spans="1:14">
      <c r="C7" s="1" t="s">
        <v>6</v>
      </c>
      <c r="D7" s="4" t="s">
        <v>7</v>
      </c>
      <c r="E7" s="5">
        <f>HEX2DEC(D7)</f>
        <v>134221823</v>
      </c>
      <c r="L7">
        <v>4</v>
      </c>
      <c r="M7" s="11" t="str">
        <f t="shared" si="0"/>
        <v>8000C00</v>
      </c>
      <c r="N7" s="11">
        <f t="shared" si="1"/>
        <v>134220800</v>
      </c>
    </row>
    <row r="8" spans="1:14">
      <c r="C8" s="1" t="s">
        <v>8</v>
      </c>
      <c r="D8" s="6" t="str">
        <f>DEC2HEX(HEX2DEC(D7)-HEX2DEC(D6)+1)</f>
        <v>1000</v>
      </c>
      <c r="E8" s="6">
        <f>E7-E6+1</f>
        <v>4096</v>
      </c>
      <c r="L8">
        <v>5</v>
      </c>
      <c r="M8" s="11" t="str">
        <f t="shared" si="0"/>
        <v>----</v>
      </c>
      <c r="N8" s="11" t="str">
        <f t="shared" si="1"/>
        <v>----</v>
      </c>
    </row>
    <row r="9" spans="1:14">
      <c r="D9" s="1"/>
      <c r="E9" s="1"/>
      <c r="G9" t="s">
        <v>9</v>
      </c>
      <c r="L9">
        <v>6</v>
      </c>
      <c r="M9" s="11" t="str">
        <f t="shared" si="0"/>
        <v>----</v>
      </c>
      <c r="N9" s="11" t="str">
        <f t="shared" si="1"/>
        <v>----</v>
      </c>
    </row>
    <row r="10" spans="1:14">
      <c r="G10" s="9" t="s">
        <v>10</v>
      </c>
      <c r="H10" s="9" t="s">
        <v>4</v>
      </c>
      <c r="L10">
        <v>7</v>
      </c>
      <c r="M10" s="11" t="str">
        <f t="shared" si="0"/>
        <v>----</v>
      </c>
      <c r="N10" s="11" t="str">
        <f t="shared" si="1"/>
        <v>----</v>
      </c>
    </row>
    <row r="11" spans="1:14">
      <c r="C11" s="1" t="s">
        <v>11</v>
      </c>
      <c r="D11" s="7">
        <v>4</v>
      </c>
      <c r="G11" s="8" t="str">
        <f>DEC2HEX(E8/D11)</f>
        <v>400</v>
      </c>
      <c r="H11" s="8">
        <f>E8/D11</f>
        <v>1024</v>
      </c>
      <c r="I11" s="1"/>
      <c r="J11" t="str">
        <f>IF(TRUNC(H11)=H11,"OK","NOT OK")</f>
        <v>OK</v>
      </c>
      <c r="L11">
        <v>8</v>
      </c>
      <c r="M11" s="11" t="str">
        <f t="shared" si="0"/>
        <v>----</v>
      </c>
      <c r="N11" s="11" t="str">
        <f t="shared" si="1"/>
        <v>----</v>
      </c>
    </row>
    <row r="12" spans="1:14">
      <c r="L12">
        <v>9</v>
      </c>
      <c r="M12" s="11" t="str">
        <f t="shared" si="0"/>
        <v>----</v>
      </c>
      <c r="N12" s="11" t="str">
        <f t="shared" si="1"/>
        <v>----</v>
      </c>
    </row>
    <row r="13" spans="1:14">
      <c r="L13">
        <v>10</v>
      </c>
      <c r="M13" s="11" t="str">
        <f t="shared" si="0"/>
        <v>----</v>
      </c>
      <c r="N13" s="11" t="str">
        <f t="shared" si="1"/>
        <v>----</v>
      </c>
    </row>
    <row r="14" spans="1:14">
      <c r="L14">
        <v>11</v>
      </c>
      <c r="M14" s="11" t="str">
        <f t="shared" si="0"/>
        <v>----</v>
      </c>
      <c r="N14" s="11" t="str">
        <f t="shared" si="1"/>
        <v>----</v>
      </c>
    </row>
    <row r="15" spans="1:14">
      <c r="B15" s="14" t="s">
        <v>12</v>
      </c>
      <c r="C15" s="14"/>
      <c r="D15" s="14"/>
      <c r="L15">
        <v>12</v>
      </c>
      <c r="M15" s="11" t="str">
        <f t="shared" si="0"/>
        <v>----</v>
      </c>
      <c r="N15" s="11" t="str">
        <f t="shared" si="1"/>
        <v>----</v>
      </c>
    </row>
    <row r="16" spans="1:14">
      <c r="B16" s="13" t="s">
        <v>13</v>
      </c>
      <c r="C16" s="13"/>
      <c r="D16" s="13"/>
      <c r="L16">
        <v>13</v>
      </c>
      <c r="M16" s="11" t="str">
        <f t="shared" si="0"/>
        <v>----</v>
      </c>
      <c r="N16" s="11" t="str">
        <f t="shared" si="1"/>
        <v>----</v>
      </c>
    </row>
    <row r="17" spans="2:14">
      <c r="B17" s="15" t="s">
        <v>14</v>
      </c>
      <c r="C17" s="15"/>
      <c r="D17" s="15"/>
      <c r="L17">
        <v>14</v>
      </c>
      <c r="M17" s="11" t="str">
        <f t="shared" si="0"/>
        <v>----</v>
      </c>
      <c r="N17" s="11" t="str">
        <f t="shared" si="1"/>
        <v>----</v>
      </c>
    </row>
    <row r="18" spans="2:14">
      <c r="L18">
        <v>15</v>
      </c>
      <c r="M18" s="11" t="str">
        <f t="shared" si="0"/>
        <v>----</v>
      </c>
      <c r="N18" s="11" t="str">
        <f t="shared" si="1"/>
        <v>----</v>
      </c>
    </row>
    <row r="19" spans="2:14">
      <c r="L19">
        <v>16</v>
      </c>
      <c r="M19" s="11" t="str">
        <f t="shared" si="0"/>
        <v>----</v>
      </c>
      <c r="N19" s="11" t="str">
        <f t="shared" si="1"/>
        <v>----</v>
      </c>
    </row>
  </sheetData>
  <mergeCells count="3">
    <mergeCell ref="B16:D16"/>
    <mergeCell ref="B15:D15"/>
    <mergeCell ref="B17:D17"/>
  </mergeCells>
  <conditionalFormatting sqref="J11">
    <cfRule type="cellIs" dxfId="2" priority="1" operator="equal">
      <formula>"OK"</formula>
    </cfRule>
    <cfRule type="cellIs" dxfId="1" priority="2" operator="equal">
      <formula>"NOT OK"</formula>
    </cfRule>
    <cfRule type="cellIs" dxfId="0" priority="3" operator="equal">
      <formula>"""NOT OK"""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DBC6-C0E5-4C88-A162-40FC4893273C}">
  <dimension ref="A1"/>
  <sheetViews>
    <sheetView tabSelected="1" workbookViewId="0">
      <selection activeCell="G11" sqref="G11"/>
    </sheetView>
  </sheetViews>
  <sheetFormatPr defaultRowHeight="14.25"/>
  <sheetData>
    <row r="1" spans="1:1">
      <c r="A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7cda2cf-a651-4f4f-9cfd-90f651f22ff7">Pending Web Bundle Review by Catherine Kenzie</Status>
    <lcf76f155ced4ddcb4097134ff3c332f xmlns="a7cda2cf-a651-4f4f-9cfd-90f651f22ff7">
      <Terms xmlns="http://schemas.microsoft.com/office/infopath/2007/PartnerControls"/>
    </lcf76f155ced4ddcb4097134ff3c332f>
    <Content_x0020_Reviewer xmlns="a7cda2cf-a651-4f4f-9cfd-90f651f22ff7">
      <UserInfo>
        <DisplayName>GJ Huang</DisplayName>
        <AccountId>1324</AccountId>
        <AccountType/>
      </UserInfo>
    </Content_x0020_Reviewer>
    <Requestor_x0020_Reviewer xmlns="a7cda2cf-a651-4f4f-9cfd-90f651f22ff7">
      <UserInfo>
        <DisplayName>Onkar Raut</DisplayName>
        <AccountId>158</AccountId>
        <AccountType/>
      </UserInfo>
    </Requestor_x0020_Reviewer>
    <RequestLink xmlns="a7cda2cf-a651-4f4f-9cfd-90f651f22ff7">
      <Url>https://renesasgroup.sharepoint.com/sites/REA-IOTBD-AppNotes/Lists/RequestsList/EditForm.aspx?ID=1721&amp;Source=/sites/REA-IOTBD-AppNotes</Url>
      <Description>Review Link</Description>
    </RequestLink>
    <Review_x0020_Progress xmlns="a7cda2cf-a651-4f4f-9cfd-90f651f22ff7" xsi:nil="true"/>
    <Author_x0020_Reviewer xmlns="a7cda2cf-a651-4f4f-9cfd-90f651f22ff7">
      <UserInfo>
        <DisplayName>Catherine Kenzie</DisplayName>
        <AccountId>335</AccountId>
        <AccountType/>
      </UserInfo>
    </Author_x0020_Reviewer>
    <Marketing_x0020_Approver xmlns="a7cda2cf-a651-4f4f-9cfd-90f651f22ff7">
      <UserInfo>
        <DisplayName>Onkar Raut</DisplayName>
        <AccountId>158</AccountId>
        <AccountType/>
      </UserInfo>
    </Marketing_x0020_Approver>
    <Publisher xmlns="a7cda2cf-a651-4f4f-9cfd-90f651f22ff7">
      <UserInfo>
        <DisplayName>Chandana Karipineni</DisplayName>
        <AccountId>115</AccountId>
        <AccountType/>
      </UserInfo>
    </Publisher>
    <Packager xmlns="a7cda2cf-a651-4f4f-9cfd-90f651f22ff7">
      <UserInfo>
        <DisplayName>Chandana Karipineni</DisplayName>
        <AccountId>115</AccountId>
        <AccountType/>
      </UserInfo>
    </Packager>
    <Functional_x0020_Reviewer xmlns="a7cda2cf-a651-4f4f-9cfd-90f651f22ff7">
      <UserInfo>
        <DisplayName>Lokesh Medathana Vasantha</DisplayName>
        <AccountId>146</AccountId>
        <AccountType/>
      </UserInfo>
    </Functional_x0020_Reviewer>
    <Jira_x0020_ID xmlns="a7cda2cf-a651-4f4f-9cfd-90f651f22ff7">https://reasoftware.atlassian.net/browse/IOTSYSAPN-6573</Jira_x0020_ID>
    <Group xmlns="a7cda2cf-a651-4f4f-9cfd-90f651f22ff7">VEEPROM</Group>
    <RequestID xmlns="a7cda2cf-a651-4f4f-9cfd-90f651f22ff7">1721</RequestID>
    <SQA_x0020_Reviewer xmlns="a7cda2cf-a651-4f4f-9cfd-90f651f22ff7">
      <UserInfo>
        <DisplayName>Catherine Kenzie</DisplayName>
        <AccountId>335</AccountId>
        <AccountType/>
      </UserInfo>
    </SQA_x0020_Reviewer>
    <Submitter xmlns="a7cda2cf-a651-4f4f-9cfd-90f651f22ff7">
      <UserInfo>
        <DisplayName>Catherine Kenzie</DisplayName>
        <AccountId>335</AccountId>
        <AccountType/>
      </UserInfo>
    </Submitter>
    <TaxCatchAll xmlns="c24288ec-b664-4237-bfbf-b4d8972790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32E39E851C944B9B54D68EE769DA79" ma:contentTypeVersion="34" ma:contentTypeDescription="Create a new document." ma:contentTypeScope="" ma:versionID="a25ab3900fd2d9d6917e4699a9d2b70b">
  <xsd:schema xmlns:xsd="http://www.w3.org/2001/XMLSchema" xmlns:xs="http://www.w3.org/2001/XMLSchema" xmlns:p="http://schemas.microsoft.com/office/2006/metadata/properties" xmlns:ns2="a7cda2cf-a651-4f4f-9cfd-90f651f22ff7" xmlns:ns3="9cc8c1bb-c1dc-465e-b4a0-a3add1aa178c" xmlns:ns4="c24288ec-b664-4237-bfbf-b4d897279037" targetNamespace="http://schemas.microsoft.com/office/2006/metadata/properties" ma:root="true" ma:fieldsID="d03a94f073d7a529a5ffd5837ba24532" ns2:_="" ns3:_="" ns4:_="">
    <xsd:import namespace="a7cda2cf-a651-4f4f-9cfd-90f651f22ff7"/>
    <xsd:import namespace="9cc8c1bb-c1dc-465e-b4a0-a3add1aa178c"/>
    <xsd:import namespace="c24288ec-b664-4237-bfbf-b4d897279037"/>
    <xsd:element name="properties">
      <xsd:complexType>
        <xsd:sequence>
          <xsd:element name="documentManagement">
            <xsd:complexType>
              <xsd:all>
                <xsd:element ref="ns2:Content_x0020_Reviewer" minOccurs="0"/>
                <xsd:element ref="ns2:Functional_x0020_Reviewer" minOccurs="0"/>
                <xsd:element ref="ns2:Marketing_x0020_Approver" minOccurs="0"/>
                <xsd:element ref="ns2:Packager" minOccurs="0"/>
                <xsd:element ref="ns2:Publisher" minOccurs="0"/>
                <xsd:element ref="ns2:Requestor_x0020_Reviewer" minOccurs="0"/>
                <xsd:element ref="ns2:Status" minOccurs="0"/>
                <xsd:element ref="ns2:RequestID" minOccurs="0"/>
                <xsd:element ref="ns2:SQA_x0020_Reviewer" minOccurs="0"/>
                <xsd:element ref="ns2:Author_x0020_Reviewer" minOccurs="0"/>
                <xsd:element ref="ns2:RequestLink" minOccurs="0"/>
                <xsd:element ref="ns2:Group" minOccurs="0"/>
                <xsd:element ref="ns2:Submitter" minOccurs="0"/>
                <xsd:element ref="ns2:Jira_x0020_ID" minOccurs="0"/>
                <xsd:element ref="ns2:Review_x0020_Progres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da2cf-a651-4f4f-9cfd-90f651f22ff7" elementFormDefault="qualified">
    <xsd:import namespace="http://schemas.microsoft.com/office/2006/documentManagement/types"/>
    <xsd:import namespace="http://schemas.microsoft.com/office/infopath/2007/PartnerControls"/>
    <xsd:element name="Content_x0020_Reviewer" ma:index="3" nillable="true" ma:displayName="Content Reviewer" ma:list="UserInfo" ma:SharePointGroup="0" ma:internalName="Content_x0020_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unctional_x0020_Reviewer" ma:index="4" nillable="true" ma:displayName="Functional Reviewer" ma:list="UserInfo" ma:SharePointGroup="0" ma:internalName="Functional_x0020_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rketing_x0020_Approver" ma:index="5" nillable="true" ma:displayName="Marketing Approver" ma:list="UserInfo" ma:SharePointGroup="0" ma:internalName="Marketing_x0020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ackager" ma:index="6" nillable="true" ma:displayName="Packager" ma:list="UserInfo" ma:SharePointGroup="0" ma:internalName="Pack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er" ma:index="7" nillable="true" ma:displayName="Publisher" ma:indexed="true" ma:list="UserInfo" ma:SharePointGroup="0" ma:internalName="Publish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questor_x0020_Reviewer" ma:index="8" nillable="true" ma:displayName="Requestor Reviewer" ma:list="UserInfo" ma:SharePointGroup="0" ma:internalName="Requestor_x0020_Review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9" nillable="true" ma:displayName="Status" ma:indexed="true" ma:internalName="Status" ma:readOnly="false">
      <xsd:simpleType>
        <xsd:restriction base="dms:Text">
          <xsd:maxLength value="255"/>
        </xsd:restriction>
      </xsd:simpleType>
    </xsd:element>
    <xsd:element name="RequestID" ma:index="10" nillable="true" ma:displayName="RequestID" ma:indexed="true" ma:internalName="RequestID" ma:readOnly="false">
      <xsd:simpleType>
        <xsd:restriction base="dms:Text">
          <xsd:maxLength value="255"/>
        </xsd:restriction>
      </xsd:simpleType>
    </xsd:element>
    <xsd:element name="SQA_x0020_Reviewer" ma:index="11" nillable="true" ma:displayName="Web Bundle Reviewer" ma:indexed="true" ma:list="UserInfo" ma:SharePointGroup="0" ma:internalName="SQA_x0020_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_x0020_Reviewer" ma:index="12" nillable="true" ma:displayName="Author Reviewer" ma:list="UserInfo" ma:SharePointGroup="0" ma:internalName="Author_x0020_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questLink" ma:index="13" nillable="true" ma:displayName="RequestLink" ma:format="Hyperlink" ma:internalName="Request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roup" ma:index="14" nillable="true" ma:displayName="Group" ma:indexed="true" ma:internalName="Group" ma:readOnly="false">
      <xsd:simpleType>
        <xsd:restriction base="dms:Text">
          <xsd:maxLength value="255"/>
        </xsd:restriction>
      </xsd:simpleType>
    </xsd:element>
    <xsd:element name="Submitter" ma:index="15" nillable="true" ma:displayName="Submitter" ma:list="UserInfo" ma:SharePointGroup="0" ma:internalName="Submitt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ira_x0020_ID" ma:index="16" nillable="true" ma:displayName="Jira ID" ma:internalName="Jira_x0020_ID">
      <xsd:simpleType>
        <xsd:restriction base="dms:Note">
          <xsd:maxLength value="255"/>
        </xsd:restriction>
      </xsd:simpleType>
    </xsd:element>
    <xsd:element name="Review_x0020_Progress" ma:index="18" nillable="true" ma:displayName="Review Progress" ma:hidden="true" ma:internalName="Review_x0020_Progress" ma:readOnly="false">
      <xsd:simpleType>
        <xsd:restriction base="dms:Note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8" nillable="true" ma:displayName="Tags" ma:internalName="MediaServiceAutoTags" ma:readOnly="true">
      <xsd:simpleType>
        <xsd:restriction base="dms:Text"/>
      </xsd:simple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631f0850-98f7-4372-8aa8-4aaf7edce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8c1bb-c1dc-465e-b4a0-a3add1aa178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288ec-b664-4237-bfbf-b4d897279037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67907a92-77ae-4faf-b93d-cbca8535de5c}" ma:internalName="TaxCatchAll" ma:showField="CatchAllData" ma:web="9cc8c1bb-c1dc-465e-b4a0-a3add1aa17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73AB19-BCAC-4D78-BA27-18B61FE8345F}"/>
</file>

<file path=customXml/itemProps2.xml><?xml version="1.0" encoding="utf-8"?>
<ds:datastoreItem xmlns:ds="http://schemas.openxmlformats.org/officeDocument/2006/customXml" ds:itemID="{427F7F26-A6B3-4D17-9DD7-06DCCDD2DC41}"/>
</file>

<file path=customXml/itemProps3.xml><?xml version="1.0" encoding="utf-8"?>
<ds:datastoreItem xmlns:ds="http://schemas.openxmlformats.org/officeDocument/2006/customXml" ds:itemID="{9487B076-C8FE-461F-9596-049DC72A9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D'Agostino</dc:creator>
  <cp:keywords/>
  <dc:description/>
  <cp:lastModifiedBy>GJ Huang</cp:lastModifiedBy>
  <cp:revision/>
  <dcterms:created xsi:type="dcterms:W3CDTF">2023-08-07T00:00:02Z</dcterms:created>
  <dcterms:modified xsi:type="dcterms:W3CDTF">2023-10-09T08:35:12Z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0x0101004532E39E851C944B9B54D68EE769DA79</vt:lpwstr>
  </property>
  <property fmtid="{D5CDD505-2E9C-101B-9397-08002B2CF9AE}" pid="3" name="MediaServiceImageTags">
    <vt:lpwstr/>
  </property>
  <property fmtid="{D5CDD505-2E9C-101B-9397-08002B2CF9AE}" pid="4" name="_docset_NoMedatataSyncRequired">
    <vt:lpwstr>False</vt:lpwstr>
  </property>
</Properties>
</file>